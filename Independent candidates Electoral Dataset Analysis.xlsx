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RSHIT\Desktop\"/>
    </mc:Choice>
  </mc:AlternateContent>
  <bookViews>
    <workbookView xWindow="0" yWindow="0" windowWidth="20700" windowHeight="7830"/>
  </bookViews>
  <sheets>
    <sheet name="Independent Candidates Analysis" sheetId="1" r:id="rId1"/>
    <sheet name="Sheet2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3" i="1" l="1"/>
  <c r="AM4" i="1"/>
  <c r="AM5" i="1"/>
  <c r="AM6" i="1"/>
  <c r="AM7" i="1"/>
  <c r="AM8" i="1"/>
  <c r="AM9" i="1"/>
  <c r="AM10" i="1"/>
  <c r="AM11" i="1"/>
  <c r="AM12" i="1"/>
  <c r="AM2" i="1"/>
  <c r="AL3" i="1"/>
  <c r="AL4" i="1"/>
  <c r="AL5" i="1"/>
  <c r="AL6" i="1"/>
  <c r="AL7" i="1"/>
  <c r="AL8" i="1"/>
  <c r="AL9" i="1"/>
  <c r="AL10" i="1"/>
  <c r="AL11" i="1"/>
  <c r="AL12" i="1"/>
  <c r="AL2" i="1"/>
  <c r="AK3" i="1"/>
  <c r="AK4" i="1"/>
  <c r="AK5" i="1"/>
  <c r="AK6" i="1"/>
  <c r="AK7" i="1"/>
  <c r="AK8" i="1"/>
  <c r="AK9" i="1"/>
  <c r="AK10" i="1"/>
  <c r="AK11" i="1"/>
  <c r="AK12" i="1"/>
  <c r="AK2" i="1"/>
  <c r="AJ3" i="1"/>
  <c r="AJ4" i="1"/>
  <c r="AJ5" i="1"/>
  <c r="AJ6" i="1"/>
  <c r="AJ7" i="1"/>
  <c r="AJ8" i="1"/>
  <c r="AJ9" i="1"/>
  <c r="AJ11" i="1"/>
  <c r="AJ12" i="1"/>
  <c r="AJ2" i="1"/>
  <c r="AI3" i="1"/>
  <c r="AI4" i="1"/>
  <c r="AI5" i="1"/>
  <c r="AI6" i="1"/>
  <c r="AI7" i="1"/>
  <c r="AI8" i="1"/>
  <c r="AI9" i="1"/>
  <c r="AI10" i="1"/>
  <c r="AI11" i="1"/>
  <c r="AI12" i="1"/>
  <c r="AI2" i="1"/>
  <c r="AH3" i="1"/>
  <c r="AH4" i="1"/>
  <c r="AH5" i="1"/>
  <c r="AH6" i="1"/>
  <c r="AH7" i="1"/>
  <c r="AH8" i="1"/>
  <c r="AH9" i="1"/>
  <c r="AH10" i="1"/>
  <c r="AH11" i="1"/>
  <c r="AH12" i="1"/>
  <c r="AH2" i="1"/>
  <c r="AA7" i="1"/>
  <c r="AA6" i="1"/>
  <c r="Z7" i="1"/>
  <c r="Y7" i="1"/>
  <c r="AO7" i="1" s="1"/>
  <c r="X7" i="1"/>
  <c r="W7" i="1"/>
  <c r="V7" i="1"/>
  <c r="AN7" i="1" s="1"/>
  <c r="AA12" i="1"/>
  <c r="Z12" i="1"/>
  <c r="Y12" i="1"/>
  <c r="AO12" i="1" s="1"/>
  <c r="X12" i="1"/>
  <c r="W12" i="1"/>
  <c r="V12" i="1"/>
  <c r="AN12" i="1" s="1"/>
  <c r="Z11" i="1"/>
  <c r="Y11" i="1"/>
  <c r="AO11" i="1" s="1"/>
  <c r="X11" i="1"/>
  <c r="W11" i="1"/>
  <c r="V11" i="1"/>
  <c r="AN11" i="1" s="1"/>
  <c r="AA10" i="1"/>
  <c r="Z10" i="1"/>
  <c r="Y10" i="1"/>
  <c r="AO10" i="1" s="1"/>
  <c r="X10" i="1"/>
  <c r="W10" i="1"/>
  <c r="Q10" i="1"/>
  <c r="AJ10" i="1" s="1"/>
  <c r="V10" i="1"/>
  <c r="AN10" i="1" s="1"/>
  <c r="AA9" i="1"/>
  <c r="Z9" i="1"/>
  <c r="Y9" i="1"/>
  <c r="AO9" i="1" s="1"/>
  <c r="X9" i="1"/>
  <c r="W9" i="1"/>
  <c r="V9" i="1"/>
  <c r="AN9" i="1" s="1"/>
  <c r="AA8" i="1"/>
  <c r="Z8" i="1"/>
  <c r="Y8" i="1"/>
  <c r="AO8" i="1" s="1"/>
  <c r="X8" i="1"/>
  <c r="W8" i="1"/>
  <c r="V8" i="1"/>
  <c r="AN8" i="1" s="1"/>
  <c r="Z6" i="1"/>
  <c r="Y6" i="1"/>
  <c r="AO6" i="1" s="1"/>
  <c r="X6" i="1"/>
  <c r="W6" i="1"/>
  <c r="V6" i="1"/>
  <c r="AN6" i="1" s="1"/>
  <c r="Z5" i="1"/>
  <c r="Y5" i="1"/>
  <c r="AO5" i="1" s="1"/>
  <c r="X5" i="1"/>
  <c r="W5" i="1"/>
  <c r="V5" i="1"/>
  <c r="AN5" i="1" s="1"/>
  <c r="AA4" i="1"/>
  <c r="Z4" i="1"/>
  <c r="Y4" i="1"/>
  <c r="AO4" i="1" s="1"/>
  <c r="X4" i="1"/>
  <c r="W4" i="1"/>
  <c r="V4" i="1"/>
  <c r="AN4" i="1" s="1"/>
  <c r="AA3" i="1"/>
  <c r="Z3" i="1"/>
  <c r="Y3" i="1"/>
  <c r="AO3" i="1" s="1"/>
  <c r="X3" i="1"/>
  <c r="W3" i="1"/>
  <c r="AN3" i="1" s="1"/>
  <c r="AA2" i="1"/>
  <c r="Z2" i="1"/>
  <c r="Y2" i="1"/>
  <c r="AO2" i="1" s="1"/>
  <c r="X2" i="1"/>
  <c r="W2" i="1"/>
  <c r="AN2" i="1" s="1"/>
</calcChain>
</file>

<file path=xl/sharedStrings.xml><?xml version="1.0" encoding="utf-8"?>
<sst xmlns="http://schemas.openxmlformats.org/spreadsheetml/2006/main" count="79" uniqueCount="56">
  <si>
    <t>S.no</t>
  </si>
  <si>
    <t>Geographical unit</t>
  </si>
  <si>
    <t>Election Type</t>
  </si>
  <si>
    <t>Old Pre Year</t>
  </si>
  <si>
    <t>Mid Pre Year</t>
  </si>
  <si>
    <t>Latest Pre Year</t>
  </si>
  <si>
    <t>Early Post Year</t>
  </si>
  <si>
    <t>Mid Post Year</t>
  </si>
  <si>
    <t>Latest Post Year</t>
  </si>
  <si>
    <t>Old Pre Seats</t>
  </si>
  <si>
    <t>Mid Pre Seats</t>
  </si>
  <si>
    <t>Latest Pre Seats</t>
  </si>
  <si>
    <t>Early Post seats</t>
  </si>
  <si>
    <t>Mid Post Seats</t>
  </si>
  <si>
    <t>Latest post Seats</t>
  </si>
  <si>
    <t>Old Pre Ind Vote%</t>
  </si>
  <si>
    <t>Mid Pre Ind Vote%</t>
  </si>
  <si>
    <t>Latest Pre Ind Vote%</t>
  </si>
  <si>
    <t>Early Post Ind Vote%</t>
  </si>
  <si>
    <t>Mid Post Ind Vote%</t>
  </si>
  <si>
    <t>Latest Post Ind Vote%</t>
  </si>
  <si>
    <t>Old Pre Top 2 Vote%</t>
  </si>
  <si>
    <t>Mid Pre Top 2 Vote%</t>
  </si>
  <si>
    <t>Latest Pre Top 2 Vote%</t>
  </si>
  <si>
    <t>Early Post Top 2 Vote%</t>
  </si>
  <si>
    <t>Latest Post Top 2 Vote%</t>
  </si>
  <si>
    <t>Old Pre IndC</t>
  </si>
  <si>
    <t>Mid Pre IndC</t>
  </si>
  <si>
    <t>Latest Pre IndC</t>
  </si>
  <si>
    <t>Early Post IndC</t>
  </si>
  <si>
    <t>Mid Post IndC</t>
  </si>
  <si>
    <t>Latest Post IndC</t>
  </si>
  <si>
    <t>Mid Post Top 2 Vote%</t>
  </si>
  <si>
    <t>Bihar</t>
  </si>
  <si>
    <t>Jharkhand</t>
  </si>
  <si>
    <t>Karnataka</t>
  </si>
  <si>
    <t>Tamil Nadu</t>
  </si>
  <si>
    <t>Tripura</t>
  </si>
  <si>
    <t>Nagaland</t>
  </si>
  <si>
    <t>Delhi</t>
  </si>
  <si>
    <t>Haryana</t>
  </si>
  <si>
    <t>Maharastra</t>
  </si>
  <si>
    <t>Gujrat</t>
  </si>
  <si>
    <t>India</t>
  </si>
  <si>
    <t>Assembly Constituency</t>
  </si>
  <si>
    <t>Parliamentary Constituency</t>
  </si>
  <si>
    <t>2005-Oct</t>
  </si>
  <si>
    <t>NA</t>
  </si>
  <si>
    <t>Pre 2013 Ind Avg Seats</t>
  </si>
  <si>
    <t>Post 2013 Ind Avg Seats</t>
  </si>
  <si>
    <t>Pre 2013 Ind Avg Vote%</t>
  </si>
  <si>
    <t>Post 2013 Ind Avg Vote%</t>
  </si>
  <si>
    <t>Pre 2013 Avg Ind Candidate</t>
  </si>
  <si>
    <t>Post 2013 Avg Ind Candidate</t>
  </si>
  <si>
    <t>Pre 2013 Avg Top 2 Vote%</t>
  </si>
  <si>
    <t>Post 2013 Avg Top 2 Vote%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</si>
</sst>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0" fontId="0" fillId="0" borderId="0" xfId="1" applyNumberFormat="1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"/>
  <sheetViews>
    <sheetView tabSelected="1" topLeftCell="AL1" workbookViewId="0">
      <selection activeCell="AP7" sqref="AP7"/>
    </sheetView>
  </sheetViews>
  <sheetFormatPr defaultRowHeight="15" x14ac:dyDescent="0.25"/>
  <cols>
    <col min="2" max="2" width="16.7109375" bestFit="1" customWidth="1"/>
    <col min="3" max="3" width="26" bestFit="1" customWidth="1"/>
    <col min="4" max="4" width="11.5703125" bestFit="1" customWidth="1"/>
    <col min="5" max="5" width="12.140625" bestFit="1" customWidth="1"/>
    <col min="6" max="6" width="13.85546875" bestFit="1" customWidth="1"/>
    <col min="7" max="7" width="14.140625" bestFit="1" customWidth="1"/>
    <col min="8" max="8" width="13.140625" bestFit="1" customWidth="1"/>
    <col min="9" max="9" width="14.7109375" bestFit="1" customWidth="1"/>
    <col min="10" max="10" width="12.7109375" bestFit="1" customWidth="1"/>
    <col min="11" max="11" width="13.140625" bestFit="1" customWidth="1"/>
    <col min="12" max="12" width="15" bestFit="1" customWidth="1"/>
    <col min="13" max="13" width="14.7109375" bestFit="1" customWidth="1"/>
    <col min="14" max="14" width="14" bestFit="1" customWidth="1"/>
    <col min="15" max="15" width="15.85546875" bestFit="1" customWidth="1"/>
    <col min="16" max="16" width="17.42578125" bestFit="1" customWidth="1"/>
    <col min="17" max="17" width="17.7109375" bestFit="1" customWidth="1"/>
    <col min="18" max="18" width="19.5703125" bestFit="1" customWidth="1"/>
    <col min="19" max="19" width="19.42578125" bestFit="1" customWidth="1"/>
    <col min="20" max="20" width="18.5703125" bestFit="1" customWidth="1"/>
    <col min="21" max="21" width="20.42578125" bestFit="1" customWidth="1"/>
    <col min="22" max="22" width="19.28515625" bestFit="1" customWidth="1"/>
    <col min="23" max="23" width="19.5703125" bestFit="1" customWidth="1"/>
    <col min="24" max="24" width="21.5703125" bestFit="1" customWidth="1"/>
    <col min="25" max="25" width="21.42578125" bestFit="1" customWidth="1"/>
    <col min="26" max="26" width="20.42578125" bestFit="1" customWidth="1"/>
    <col min="27" max="27" width="22.42578125" bestFit="1" customWidth="1"/>
    <col min="28" max="28" width="17.42578125" bestFit="1" customWidth="1"/>
    <col min="29" max="29" width="17.7109375" bestFit="1" customWidth="1"/>
    <col min="30" max="30" width="19.5703125" bestFit="1" customWidth="1"/>
    <col min="31" max="31" width="19.42578125" bestFit="1" customWidth="1"/>
    <col min="32" max="32" width="18.5703125" bestFit="1" customWidth="1"/>
    <col min="33" max="33" width="20.42578125" bestFit="1" customWidth="1"/>
    <col min="34" max="34" width="24.42578125" bestFit="1" customWidth="1"/>
    <col min="35" max="35" width="24.7109375" bestFit="1" customWidth="1"/>
    <col min="36" max="36" width="26.7109375" bestFit="1" customWidth="1"/>
    <col min="37" max="37" width="26.5703125" bestFit="1" customWidth="1"/>
    <col min="38" max="38" width="25.7109375" bestFit="1" customWidth="1"/>
    <col min="39" max="39" width="27.5703125" bestFit="1" customWidth="1"/>
    <col min="40" max="41" width="24" bestFit="1" customWidth="1"/>
  </cols>
  <sheetData>
    <row r="1" spans="1:4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32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48</v>
      </c>
      <c r="AI1" s="2" t="s">
        <v>49</v>
      </c>
      <c r="AJ1" s="2" t="s">
        <v>50</v>
      </c>
      <c r="AK1" s="2" t="s">
        <v>51</v>
      </c>
      <c r="AL1" s="2" t="s">
        <v>52</v>
      </c>
      <c r="AM1" s="2" t="s">
        <v>53</v>
      </c>
      <c r="AN1" s="2" t="s">
        <v>54</v>
      </c>
      <c r="AO1" s="2" t="s">
        <v>55</v>
      </c>
    </row>
    <row r="2" spans="1:41" x14ac:dyDescent="0.25">
      <c r="A2" s="3">
        <v>1</v>
      </c>
      <c r="B2" s="3" t="s">
        <v>33</v>
      </c>
      <c r="C2" s="3" t="s">
        <v>44</v>
      </c>
      <c r="D2" s="3">
        <v>2005</v>
      </c>
      <c r="E2" s="3" t="s">
        <v>46</v>
      </c>
      <c r="F2" s="3">
        <v>2010</v>
      </c>
      <c r="G2" s="3">
        <v>2015</v>
      </c>
      <c r="H2" s="3">
        <v>2020</v>
      </c>
      <c r="I2" s="3">
        <v>2025</v>
      </c>
      <c r="J2" s="3">
        <v>17</v>
      </c>
      <c r="K2" s="3">
        <v>10</v>
      </c>
      <c r="L2" s="3">
        <v>6</v>
      </c>
      <c r="M2" s="3">
        <v>4</v>
      </c>
      <c r="N2" s="3">
        <v>1</v>
      </c>
      <c r="O2" s="3">
        <v>0</v>
      </c>
      <c r="P2" s="4">
        <v>0.16200000000000001</v>
      </c>
      <c r="Q2" s="5">
        <v>0.1</v>
      </c>
      <c r="R2" s="4">
        <v>0.13200000000000001</v>
      </c>
      <c r="S2" s="4">
        <v>9.6000000000000002E-2</v>
      </c>
      <c r="T2" s="4">
        <v>8.7999999999999995E-2</v>
      </c>
      <c r="U2" s="4">
        <v>5.0999999999999997E-2</v>
      </c>
      <c r="V2" s="6">
        <v>0.39100000000000001</v>
      </c>
      <c r="W2" s="6">
        <f>20.5%+15.6%</f>
        <v>0.36099999999999999</v>
      </c>
      <c r="X2" s="6">
        <f>22.6%+16.5%</f>
        <v>0.39100000000000001</v>
      </c>
      <c r="Y2" s="6">
        <f>18.8%+17.3%</f>
        <v>0.36099999999999999</v>
      </c>
      <c r="Z2" s="6">
        <f>23.5%+19.8%</f>
        <v>0.433</v>
      </c>
      <c r="AA2" s="6">
        <f>20.4%+19.6%</f>
        <v>0.4</v>
      </c>
      <c r="AB2" s="7">
        <v>1493</v>
      </c>
      <c r="AC2" s="8">
        <v>746</v>
      </c>
      <c r="AD2" s="8">
        <v>1342</v>
      </c>
      <c r="AE2" s="8">
        <v>1150</v>
      </c>
      <c r="AF2" s="8">
        <v>1300</v>
      </c>
      <c r="AG2" s="8">
        <v>925</v>
      </c>
      <c r="AH2" s="9">
        <f>AVERAGE(J2:L2)</f>
        <v>11</v>
      </c>
      <c r="AI2" s="9">
        <f>AVERAGE(M2:O2)</f>
        <v>1.6666666666666667</v>
      </c>
      <c r="AJ2" s="4">
        <f>AVERAGE(P2:R2)</f>
        <v>0.13133333333333333</v>
      </c>
      <c r="AK2" s="4">
        <f>AVERAGE(S2:U2)</f>
        <v>7.8333333333333324E-2</v>
      </c>
      <c r="AL2" s="10">
        <f>AVERAGE(AB2:AD2)</f>
        <v>1193.6666666666667</v>
      </c>
      <c r="AM2" s="10">
        <f>AVERAGE(AE2:AG2)</f>
        <v>1125</v>
      </c>
      <c r="AN2" s="4">
        <f>AVERAGE(V2:X2)</f>
        <v>0.38100000000000001</v>
      </c>
      <c r="AO2" s="4">
        <f>AVERAGE(Y2:AA2)</f>
        <v>0.39799999999999996</v>
      </c>
    </row>
    <row r="3" spans="1:41" x14ac:dyDescent="0.25">
      <c r="A3" s="3">
        <v>2</v>
      </c>
      <c r="B3" s="3" t="s">
        <v>34</v>
      </c>
      <c r="C3" s="3" t="s">
        <v>44</v>
      </c>
      <c r="D3" s="3" t="s">
        <v>47</v>
      </c>
      <c r="E3" s="3">
        <v>2005</v>
      </c>
      <c r="F3" s="3">
        <v>2009</v>
      </c>
      <c r="G3" s="3">
        <v>2014</v>
      </c>
      <c r="H3" s="3">
        <v>2020</v>
      </c>
      <c r="I3" s="3">
        <v>2024</v>
      </c>
      <c r="J3" s="3" t="s">
        <v>47</v>
      </c>
      <c r="K3" s="3">
        <v>3</v>
      </c>
      <c r="L3" s="3">
        <v>2</v>
      </c>
      <c r="M3" s="3">
        <v>6</v>
      </c>
      <c r="N3" s="3">
        <v>2</v>
      </c>
      <c r="O3" s="3">
        <v>0</v>
      </c>
      <c r="P3" s="3" t="s">
        <v>47</v>
      </c>
      <c r="Q3" s="4">
        <v>0.153</v>
      </c>
      <c r="R3" s="4">
        <v>0.107</v>
      </c>
      <c r="S3" s="4">
        <v>0.106</v>
      </c>
      <c r="T3" s="4">
        <v>6.6000000000000003E-2</v>
      </c>
      <c r="U3" s="4">
        <v>6.4000000000000001E-2</v>
      </c>
      <c r="V3" s="6" t="s">
        <v>47</v>
      </c>
      <c r="W3" s="6">
        <f>23.6%+14.3%</f>
        <v>0.379</v>
      </c>
      <c r="X3" s="6">
        <f>20.1%+15.2%</f>
        <v>0.35299999999999998</v>
      </c>
      <c r="Y3" s="6">
        <f>31.8%+20.8%</f>
        <v>0.52600000000000002</v>
      </c>
      <c r="Z3" s="6">
        <f>19%+33.8%</f>
        <v>0.52800000000000002</v>
      </c>
      <c r="AA3" s="6">
        <f>23.7%+33.6%</f>
        <v>0.57299999999999995</v>
      </c>
      <c r="AB3" s="3" t="s">
        <v>47</v>
      </c>
      <c r="AC3" s="8">
        <v>662</v>
      </c>
      <c r="AD3" s="8">
        <v>646</v>
      </c>
      <c r="AE3" s="8">
        <v>363</v>
      </c>
      <c r="AF3" s="8">
        <v>367</v>
      </c>
      <c r="AG3" s="8">
        <v>591</v>
      </c>
      <c r="AH3" s="9">
        <f t="shared" ref="AH3:AH12" si="0">AVERAGE(J3:L3)</f>
        <v>2.5</v>
      </c>
      <c r="AI3" s="9">
        <f t="shared" ref="AI3:AI12" si="1">AVERAGE(M3:O3)</f>
        <v>2.6666666666666665</v>
      </c>
      <c r="AJ3" s="4">
        <f t="shared" ref="AJ3:AJ12" si="2">AVERAGE(P3:R3)</f>
        <v>0.13</v>
      </c>
      <c r="AK3" s="4">
        <f t="shared" ref="AK3:AK12" si="3">AVERAGE(S3:U3)</f>
        <v>7.8666666666666663E-2</v>
      </c>
      <c r="AL3" s="10">
        <f t="shared" ref="AL3:AL12" si="4">AVERAGE(AB3:AD3)</f>
        <v>654</v>
      </c>
      <c r="AM3" s="10">
        <f t="shared" ref="AM3:AM12" si="5">AVERAGE(AE3:AG3)</f>
        <v>440.33333333333331</v>
      </c>
      <c r="AN3" s="4">
        <f t="shared" ref="AN3:AN12" si="6">AVERAGE(V3:X3)</f>
        <v>0.36599999999999999</v>
      </c>
      <c r="AO3" s="4">
        <f t="shared" ref="AO3:AO12" si="7">AVERAGE(Y3:AA3)</f>
        <v>0.54233333333333333</v>
      </c>
    </row>
    <row r="4" spans="1:41" x14ac:dyDescent="0.25">
      <c r="A4" s="3">
        <v>3</v>
      </c>
      <c r="B4" s="3" t="s">
        <v>35</v>
      </c>
      <c r="C4" s="3" t="s">
        <v>44</v>
      </c>
      <c r="D4" s="3">
        <v>1999</v>
      </c>
      <c r="E4" s="3">
        <v>2004</v>
      </c>
      <c r="F4" s="3">
        <v>2008</v>
      </c>
      <c r="G4" s="3">
        <v>2013</v>
      </c>
      <c r="H4" s="3">
        <v>2018</v>
      </c>
      <c r="I4" s="3">
        <v>2023</v>
      </c>
      <c r="J4" s="3">
        <v>19</v>
      </c>
      <c r="K4" s="3">
        <v>13</v>
      </c>
      <c r="L4" s="3">
        <v>6</v>
      </c>
      <c r="M4" s="3">
        <v>9</v>
      </c>
      <c r="N4" s="3">
        <v>1</v>
      </c>
      <c r="O4" s="3">
        <v>2</v>
      </c>
      <c r="P4" s="5">
        <v>0.12</v>
      </c>
      <c r="Q4" s="4">
        <v>6.9000000000000006E-2</v>
      </c>
      <c r="R4" s="4">
        <v>6.9000000000000006E-2</v>
      </c>
      <c r="S4" s="4">
        <v>7.3999999999999996E-2</v>
      </c>
      <c r="T4" s="4">
        <v>3.9E-2</v>
      </c>
      <c r="U4" s="4">
        <v>4.0999999999999995E-2</v>
      </c>
      <c r="V4" s="6">
        <f>40.8%+20.7%</f>
        <v>0.61499999999999999</v>
      </c>
      <c r="W4" s="6">
        <f>28.3%+35.3%</f>
        <v>0.63600000000000001</v>
      </c>
      <c r="X4" s="6">
        <f>33.9%+34.8%</f>
        <v>0.68699999999999994</v>
      </c>
      <c r="Y4" s="6">
        <f>36.6%+20.2%</f>
        <v>0.56799999999999995</v>
      </c>
      <c r="Z4" s="6">
        <f>36.2%+39%</f>
        <v>0.752</v>
      </c>
      <c r="AA4" s="6">
        <f>43.2%+36.3%</f>
        <v>0.79500000000000004</v>
      </c>
      <c r="AB4" s="8">
        <v>476</v>
      </c>
      <c r="AC4" s="8">
        <v>442</v>
      </c>
      <c r="AD4" s="8">
        <v>943</v>
      </c>
      <c r="AE4" s="8">
        <v>1218</v>
      </c>
      <c r="AF4" s="8">
        <v>1129</v>
      </c>
      <c r="AG4" s="8">
        <v>917</v>
      </c>
      <c r="AH4" s="9">
        <f t="shared" si="0"/>
        <v>12.666666666666666</v>
      </c>
      <c r="AI4" s="9">
        <f t="shared" si="1"/>
        <v>4</v>
      </c>
      <c r="AJ4" s="4">
        <f t="shared" si="2"/>
        <v>8.6000000000000007E-2</v>
      </c>
      <c r="AK4" s="4">
        <f t="shared" si="3"/>
        <v>5.1333333333333321E-2</v>
      </c>
      <c r="AL4" s="10">
        <f t="shared" si="4"/>
        <v>620.33333333333337</v>
      </c>
      <c r="AM4" s="10">
        <f t="shared" si="5"/>
        <v>1088</v>
      </c>
      <c r="AN4" s="4">
        <f t="shared" si="6"/>
        <v>0.64599999999999991</v>
      </c>
      <c r="AO4" s="4">
        <f t="shared" si="7"/>
        <v>0.70499999999999996</v>
      </c>
    </row>
    <row r="5" spans="1:41" x14ac:dyDescent="0.25">
      <c r="A5" s="3">
        <v>4</v>
      </c>
      <c r="B5" s="3" t="s">
        <v>36</v>
      </c>
      <c r="C5" s="3" t="s">
        <v>44</v>
      </c>
      <c r="D5" s="3">
        <v>2001</v>
      </c>
      <c r="E5" s="3">
        <v>2006</v>
      </c>
      <c r="F5" s="3">
        <v>2011</v>
      </c>
      <c r="G5" s="3">
        <v>2016</v>
      </c>
      <c r="H5" s="3">
        <v>2021</v>
      </c>
      <c r="I5" s="3" t="s">
        <v>47</v>
      </c>
      <c r="J5" s="3">
        <v>3</v>
      </c>
      <c r="K5" s="3">
        <v>1</v>
      </c>
      <c r="L5" s="3">
        <v>0</v>
      </c>
      <c r="M5" s="3">
        <v>0</v>
      </c>
      <c r="N5" s="3">
        <v>0</v>
      </c>
      <c r="O5" s="3" t="s">
        <v>47</v>
      </c>
      <c r="P5" s="4">
        <v>6.2E-2</v>
      </c>
      <c r="Q5" s="5">
        <v>0.03</v>
      </c>
      <c r="R5" s="4">
        <v>4.3999999999999997E-2</v>
      </c>
      <c r="S5" s="4">
        <v>1.4E-2</v>
      </c>
      <c r="T5" s="4">
        <v>1.4E-2</v>
      </c>
      <c r="U5" s="3" t="s">
        <v>47</v>
      </c>
      <c r="V5" s="6">
        <f>31.4%+30.9%</f>
        <v>0.623</v>
      </c>
      <c r="W5" s="6">
        <f>26.5%+32.6%</f>
        <v>0.59099999999999997</v>
      </c>
      <c r="X5" s="6">
        <f>38.4%+22.4%</f>
        <v>0.60799999999999998</v>
      </c>
      <c r="Y5" s="6">
        <f>41.3%+32.1%</f>
        <v>0.73399999999999999</v>
      </c>
      <c r="Z5" s="6">
        <f>38%+33.5%</f>
        <v>0.71500000000000008</v>
      </c>
      <c r="AA5" s="3" t="s">
        <v>47</v>
      </c>
      <c r="AB5" s="8">
        <v>978</v>
      </c>
      <c r="AC5" s="8">
        <v>1222</v>
      </c>
      <c r="AD5" s="8">
        <v>1504</v>
      </c>
      <c r="AE5" s="8">
        <v>1547</v>
      </c>
      <c r="AF5" s="8">
        <v>2073</v>
      </c>
      <c r="AG5" s="3" t="s">
        <v>47</v>
      </c>
      <c r="AH5" s="9">
        <f t="shared" si="0"/>
        <v>1.3333333333333333</v>
      </c>
      <c r="AI5" s="9">
        <f t="shared" si="1"/>
        <v>0</v>
      </c>
      <c r="AJ5" s="4">
        <f t="shared" si="2"/>
        <v>4.5333333333333337E-2</v>
      </c>
      <c r="AK5" s="4">
        <f t="shared" si="3"/>
        <v>1.4E-2</v>
      </c>
      <c r="AL5" s="10">
        <f t="shared" si="4"/>
        <v>1234.6666666666667</v>
      </c>
      <c r="AM5" s="10">
        <f t="shared" si="5"/>
        <v>1810</v>
      </c>
      <c r="AN5" s="4">
        <f t="shared" si="6"/>
        <v>0.60733333333333339</v>
      </c>
      <c r="AO5" s="4">
        <f t="shared" si="7"/>
        <v>0.72450000000000003</v>
      </c>
    </row>
    <row r="6" spans="1:41" x14ac:dyDescent="0.25">
      <c r="A6" s="3">
        <v>5</v>
      </c>
      <c r="B6" s="3" t="s">
        <v>37</v>
      </c>
      <c r="C6" s="3" t="s">
        <v>44</v>
      </c>
      <c r="D6" s="3">
        <v>1998</v>
      </c>
      <c r="E6" s="3">
        <v>2003</v>
      </c>
      <c r="F6" s="3">
        <v>2008</v>
      </c>
      <c r="G6" s="3">
        <v>2013</v>
      </c>
      <c r="H6" s="3">
        <v>2018</v>
      </c>
      <c r="I6" s="3">
        <v>2023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v>3.3000000000000002E-2</v>
      </c>
      <c r="Q6" s="4">
        <v>8.0000000000000002E-3</v>
      </c>
      <c r="R6" s="4">
        <v>3.2000000000000001E-2</v>
      </c>
      <c r="S6" s="4">
        <v>0.01</v>
      </c>
      <c r="T6" s="4">
        <v>2E-3</v>
      </c>
      <c r="U6" s="4">
        <v>3.0000000000000001E-3</v>
      </c>
      <c r="V6" s="6">
        <f>45.5%+34%</f>
        <v>0.79500000000000004</v>
      </c>
      <c r="W6" s="6">
        <f>46.8%+32.8%</f>
        <v>0.79599999999999993</v>
      </c>
      <c r="X6" s="6">
        <f>48%+36.4%</f>
        <v>0.84399999999999997</v>
      </c>
      <c r="Y6" s="6">
        <f>48.1%+36.5%</f>
        <v>0.84600000000000009</v>
      </c>
      <c r="Z6" s="6">
        <f>43.4%+43.2%</f>
        <v>0.8660000000000001</v>
      </c>
      <c r="AA6" s="6">
        <f>38.97%+24.62%</f>
        <v>0.63590000000000002</v>
      </c>
      <c r="AB6" s="8">
        <v>60</v>
      </c>
      <c r="AC6" s="8">
        <v>52</v>
      </c>
      <c r="AD6" s="8">
        <v>62</v>
      </c>
      <c r="AE6" s="8">
        <v>23</v>
      </c>
      <c r="AF6" s="8">
        <v>24</v>
      </c>
      <c r="AG6" s="8">
        <v>58</v>
      </c>
      <c r="AH6" s="9">
        <f t="shared" si="0"/>
        <v>0.66666666666666663</v>
      </c>
      <c r="AI6" s="9">
        <f t="shared" si="1"/>
        <v>0</v>
      </c>
      <c r="AJ6" s="4">
        <f t="shared" si="2"/>
        <v>2.4333333333333335E-2</v>
      </c>
      <c r="AK6" s="4">
        <f t="shared" si="3"/>
        <v>5.0000000000000001E-3</v>
      </c>
      <c r="AL6" s="10">
        <f t="shared" si="4"/>
        <v>58</v>
      </c>
      <c r="AM6" s="10">
        <f t="shared" si="5"/>
        <v>35</v>
      </c>
      <c r="AN6" s="4">
        <f t="shared" si="6"/>
        <v>0.81166666666666665</v>
      </c>
      <c r="AO6" s="4">
        <f t="shared" si="7"/>
        <v>0.7826333333333334</v>
      </c>
    </row>
    <row r="7" spans="1:41" x14ac:dyDescent="0.25">
      <c r="A7" s="3">
        <v>6</v>
      </c>
      <c r="B7" s="3" t="s">
        <v>38</v>
      </c>
      <c r="C7" s="3" t="s">
        <v>44</v>
      </c>
      <c r="D7" s="3">
        <v>1998</v>
      </c>
      <c r="E7" s="3">
        <v>2003</v>
      </c>
      <c r="F7" s="3">
        <v>2008</v>
      </c>
      <c r="G7" s="3">
        <v>2013</v>
      </c>
      <c r="H7" s="3">
        <v>2018</v>
      </c>
      <c r="I7" s="3">
        <v>2023</v>
      </c>
      <c r="J7" s="3">
        <v>7</v>
      </c>
      <c r="K7" s="3">
        <v>4</v>
      </c>
      <c r="L7" s="3">
        <v>7</v>
      </c>
      <c r="M7" s="3">
        <v>8</v>
      </c>
      <c r="N7" s="3">
        <v>1</v>
      </c>
      <c r="O7" s="3">
        <v>4</v>
      </c>
      <c r="P7" s="4">
        <v>0.49299999999999999</v>
      </c>
      <c r="Q7" s="4">
        <v>4.3999999999999997E-2</v>
      </c>
      <c r="R7" s="4">
        <v>0.13100000000000001</v>
      </c>
      <c r="S7" s="4">
        <v>0.17799999999999999</v>
      </c>
      <c r="T7" s="4">
        <v>4.2999999999999997E-2</v>
      </c>
      <c r="U7" s="4">
        <v>9.1999999999999998E-2</v>
      </c>
      <c r="V7" s="6">
        <f>50.7%+49.3%</f>
        <v>1</v>
      </c>
      <c r="W7" s="6">
        <f>35.9%+29.8%</f>
        <v>0.65700000000000003</v>
      </c>
      <c r="X7" s="6">
        <f>33.6%+36.3%</f>
        <v>0.69900000000000007</v>
      </c>
      <c r="Y7" s="6">
        <f>47.2%+25%</f>
        <v>0.72199999999999998</v>
      </c>
      <c r="Z7" s="6">
        <f>39.1%+25.4%</f>
        <v>0.64500000000000002</v>
      </c>
      <c r="AA7" s="6">
        <f>34.02%+18.27%</f>
        <v>0.52290000000000003</v>
      </c>
      <c r="AB7" s="8">
        <v>20</v>
      </c>
      <c r="AC7" s="8">
        <v>17</v>
      </c>
      <c r="AD7" s="8">
        <v>33</v>
      </c>
      <c r="AE7" s="8">
        <v>39</v>
      </c>
      <c r="AF7" s="8">
        <v>12</v>
      </c>
      <c r="AG7" s="8">
        <v>19</v>
      </c>
      <c r="AH7" s="9">
        <f t="shared" si="0"/>
        <v>6</v>
      </c>
      <c r="AI7" s="9">
        <f t="shared" si="1"/>
        <v>4.333333333333333</v>
      </c>
      <c r="AJ7" s="4">
        <f t="shared" si="2"/>
        <v>0.22266666666666668</v>
      </c>
      <c r="AK7" s="4">
        <f t="shared" si="3"/>
        <v>0.10433333333333332</v>
      </c>
      <c r="AL7" s="10">
        <f t="shared" si="4"/>
        <v>23.333333333333332</v>
      </c>
      <c r="AM7" s="10">
        <f t="shared" si="5"/>
        <v>23.333333333333332</v>
      </c>
      <c r="AN7" s="4">
        <f t="shared" si="6"/>
        <v>0.78533333333333333</v>
      </c>
      <c r="AO7" s="4">
        <f t="shared" si="7"/>
        <v>0.62996666666666667</v>
      </c>
    </row>
    <row r="8" spans="1:41" x14ac:dyDescent="0.25">
      <c r="A8" s="3">
        <v>7</v>
      </c>
      <c r="B8" s="3" t="s">
        <v>39</v>
      </c>
      <c r="C8" s="3" t="s">
        <v>44</v>
      </c>
      <c r="D8" s="3">
        <v>2003</v>
      </c>
      <c r="E8" s="3">
        <v>2008</v>
      </c>
      <c r="F8" s="3">
        <v>2013</v>
      </c>
      <c r="G8" s="3">
        <v>2015</v>
      </c>
      <c r="H8" s="3">
        <v>2020</v>
      </c>
      <c r="I8" s="3">
        <v>2025</v>
      </c>
      <c r="J8" s="3">
        <v>1</v>
      </c>
      <c r="K8" s="3">
        <v>1</v>
      </c>
      <c r="L8" s="3">
        <v>1</v>
      </c>
      <c r="M8" s="3">
        <v>0</v>
      </c>
      <c r="N8" s="3">
        <v>0</v>
      </c>
      <c r="O8" s="3">
        <v>0</v>
      </c>
      <c r="P8" s="4">
        <v>4.9000000000000002E-2</v>
      </c>
      <c r="Q8" s="4">
        <v>3.9E-2</v>
      </c>
      <c r="R8" s="4">
        <v>2.9000000000000001E-2</v>
      </c>
      <c r="S8" s="4">
        <v>5.0000000000000001E-3</v>
      </c>
      <c r="T8" s="4">
        <v>4.0000000000000001E-3</v>
      </c>
      <c r="U8" s="4">
        <v>5.0000000000000001E-3</v>
      </c>
      <c r="V8" s="6">
        <f>48.1%+35.2%</f>
        <v>0.83300000000000007</v>
      </c>
      <c r="W8" s="6">
        <f>40.3%+36.3%</f>
        <v>0.76600000000000001</v>
      </c>
      <c r="X8" s="6">
        <f>33.7%+29.7%</f>
        <v>0.63400000000000001</v>
      </c>
      <c r="Y8" s="6">
        <f>54.5%+32.3%</f>
        <v>0.86799999999999999</v>
      </c>
      <c r="Z8" s="6">
        <f>53.8%+38.7%</f>
        <v>0.92499999999999993</v>
      </c>
      <c r="AA8" s="6">
        <f>45.8%+43.8%</f>
        <v>0.89599999999999991</v>
      </c>
      <c r="AB8" s="8">
        <v>284</v>
      </c>
      <c r="AC8" s="8">
        <v>357</v>
      </c>
      <c r="AD8" s="8">
        <v>222</v>
      </c>
      <c r="AE8" s="8">
        <v>195</v>
      </c>
      <c r="AF8" s="8">
        <v>148</v>
      </c>
      <c r="AG8" s="8">
        <v>138</v>
      </c>
      <c r="AH8" s="9">
        <f t="shared" si="0"/>
        <v>1</v>
      </c>
      <c r="AI8" s="9">
        <f t="shared" si="1"/>
        <v>0</v>
      </c>
      <c r="AJ8" s="4">
        <f t="shared" si="2"/>
        <v>3.9E-2</v>
      </c>
      <c r="AK8" s="4">
        <f t="shared" si="3"/>
        <v>4.6666666666666671E-3</v>
      </c>
      <c r="AL8" s="10">
        <f t="shared" si="4"/>
        <v>287.66666666666669</v>
      </c>
      <c r="AM8" s="10">
        <f t="shared" si="5"/>
        <v>160.33333333333334</v>
      </c>
      <c r="AN8" s="4">
        <f t="shared" si="6"/>
        <v>0.7443333333333334</v>
      </c>
      <c r="AO8" s="4">
        <f t="shared" si="7"/>
        <v>0.89633333333333332</v>
      </c>
    </row>
    <row r="9" spans="1:41" x14ac:dyDescent="0.25">
      <c r="A9" s="3">
        <v>8</v>
      </c>
      <c r="B9" s="3" t="s">
        <v>40</v>
      </c>
      <c r="C9" s="3" t="s">
        <v>44</v>
      </c>
      <c r="D9" s="3">
        <v>2000</v>
      </c>
      <c r="E9" s="3">
        <v>2005</v>
      </c>
      <c r="F9" s="3">
        <v>2009</v>
      </c>
      <c r="G9" s="3">
        <v>2014</v>
      </c>
      <c r="H9" s="3">
        <v>2019</v>
      </c>
      <c r="I9" s="3">
        <v>2024</v>
      </c>
      <c r="J9" s="3">
        <v>11</v>
      </c>
      <c r="K9" s="3">
        <v>10</v>
      </c>
      <c r="L9" s="3">
        <v>7</v>
      </c>
      <c r="M9" s="3">
        <v>5</v>
      </c>
      <c r="N9" s="3">
        <v>7</v>
      </c>
      <c r="O9" s="3">
        <v>3</v>
      </c>
      <c r="P9" s="4">
        <v>7.9000000000000001E-2</v>
      </c>
      <c r="Q9" s="4">
        <v>0.13700000000000001</v>
      </c>
      <c r="R9" s="4">
        <v>0.13200000000000001</v>
      </c>
      <c r="S9" s="4">
        <v>0.106</v>
      </c>
      <c r="T9" s="4">
        <v>9.8000000000000004E-2</v>
      </c>
      <c r="U9" s="4">
        <v>0.105</v>
      </c>
      <c r="V9" s="6">
        <f>29.6%+31.2%</f>
        <v>0.6080000000000001</v>
      </c>
      <c r="W9" s="6">
        <f>42.5%+26.8%</f>
        <v>0.69300000000000006</v>
      </c>
      <c r="X9" s="6">
        <f>35.1%+25.8%</f>
        <v>0.60899999999999999</v>
      </c>
      <c r="Y9" s="6">
        <f>33.3%+24.2%</f>
        <v>0.57499999999999996</v>
      </c>
      <c r="Z9" s="6">
        <f>36.7%+28.2%</f>
        <v>0.64900000000000002</v>
      </c>
      <c r="AA9" s="6">
        <f>40.1%+39.2%</f>
        <v>0.79300000000000004</v>
      </c>
      <c r="AB9" s="8">
        <v>519</v>
      </c>
      <c r="AC9" s="8">
        <v>442</v>
      </c>
      <c r="AD9" s="8">
        <v>513</v>
      </c>
      <c r="AE9" s="8">
        <v>603</v>
      </c>
      <c r="AF9" s="8">
        <v>377</v>
      </c>
      <c r="AG9" s="8">
        <v>464</v>
      </c>
      <c r="AH9" s="9">
        <f t="shared" si="0"/>
        <v>9.3333333333333339</v>
      </c>
      <c r="AI9" s="9">
        <f t="shared" si="1"/>
        <v>5</v>
      </c>
      <c r="AJ9" s="4">
        <f t="shared" si="2"/>
        <v>0.11600000000000001</v>
      </c>
      <c r="AK9" s="4">
        <f t="shared" si="3"/>
        <v>0.10299999999999999</v>
      </c>
      <c r="AL9" s="10">
        <f t="shared" si="4"/>
        <v>491.33333333333331</v>
      </c>
      <c r="AM9" s="10">
        <f t="shared" si="5"/>
        <v>481.33333333333331</v>
      </c>
      <c r="AN9" s="4">
        <f t="shared" si="6"/>
        <v>0.63666666666666671</v>
      </c>
      <c r="AO9" s="4">
        <f t="shared" si="7"/>
        <v>0.67233333333333334</v>
      </c>
    </row>
    <row r="10" spans="1:41" x14ac:dyDescent="0.25">
      <c r="A10" s="3">
        <v>9</v>
      </c>
      <c r="B10" s="3" t="s">
        <v>41</v>
      </c>
      <c r="C10" s="3" t="s">
        <v>44</v>
      </c>
      <c r="D10" s="3">
        <v>1999</v>
      </c>
      <c r="E10" s="3">
        <v>2004</v>
      </c>
      <c r="F10" s="3">
        <v>2009</v>
      </c>
      <c r="G10" s="3">
        <v>2014</v>
      </c>
      <c r="H10" s="3">
        <v>2019</v>
      </c>
      <c r="I10" s="3">
        <v>2024</v>
      </c>
      <c r="J10" s="3">
        <v>12</v>
      </c>
      <c r="K10" s="3">
        <v>19</v>
      </c>
      <c r="L10" s="3">
        <v>24</v>
      </c>
      <c r="M10" s="3">
        <v>7</v>
      </c>
      <c r="N10" s="3">
        <v>13</v>
      </c>
      <c r="O10" s="3">
        <v>2</v>
      </c>
      <c r="P10" s="4">
        <v>9.5000000000000001E-2</v>
      </c>
      <c r="Q10" s="6">
        <f>18.7%+21.1%</f>
        <v>0.39800000000000002</v>
      </c>
      <c r="R10" s="4">
        <v>0.155</v>
      </c>
      <c r="S10" s="4">
        <v>4.8000000000000001E-2</v>
      </c>
      <c r="T10" s="4">
        <v>0.10100000000000001</v>
      </c>
      <c r="U10" s="4">
        <v>7.1999999999999995E-2</v>
      </c>
      <c r="V10" s="6">
        <f>27.2%+17.3%</f>
        <v>0.44500000000000006</v>
      </c>
      <c r="W10" s="6">
        <f>18.7%+21.1%</f>
        <v>0.39800000000000002</v>
      </c>
      <c r="X10" s="6">
        <f>21%+16.4%</f>
        <v>0.374</v>
      </c>
      <c r="Y10" s="6">
        <f>28.1%+19.5%</f>
        <v>0.47600000000000003</v>
      </c>
      <c r="Z10" s="6">
        <f>26.1%+16.6%</f>
        <v>0.42700000000000005</v>
      </c>
      <c r="AA10" s="6">
        <f>27%+12.5%</f>
        <v>0.39500000000000002</v>
      </c>
      <c r="AB10" s="8">
        <v>837</v>
      </c>
      <c r="AC10" s="8">
        <v>1083</v>
      </c>
      <c r="AD10" s="8">
        <v>1820</v>
      </c>
      <c r="AE10" s="8">
        <v>1700</v>
      </c>
      <c r="AF10" s="8">
        <v>1397</v>
      </c>
      <c r="AG10" s="8">
        <v>2086</v>
      </c>
      <c r="AH10" s="9">
        <f t="shared" si="0"/>
        <v>18.333333333333332</v>
      </c>
      <c r="AI10" s="9">
        <f t="shared" si="1"/>
        <v>7.333333333333333</v>
      </c>
      <c r="AJ10" s="4">
        <f t="shared" si="2"/>
        <v>0.216</v>
      </c>
      <c r="AK10" s="4">
        <f t="shared" si="3"/>
        <v>7.3666666666666672E-2</v>
      </c>
      <c r="AL10" s="10">
        <f t="shared" si="4"/>
        <v>1246.6666666666667</v>
      </c>
      <c r="AM10" s="10">
        <f t="shared" si="5"/>
        <v>1727.6666666666667</v>
      </c>
      <c r="AN10" s="4">
        <f t="shared" si="6"/>
        <v>0.40566666666666668</v>
      </c>
      <c r="AO10" s="4">
        <f t="shared" si="7"/>
        <v>0.4326666666666667</v>
      </c>
    </row>
    <row r="11" spans="1:41" x14ac:dyDescent="0.25">
      <c r="A11" s="3">
        <v>10</v>
      </c>
      <c r="B11" s="3" t="s">
        <v>42</v>
      </c>
      <c r="C11" s="3" t="s">
        <v>44</v>
      </c>
      <c r="D11" s="3">
        <v>2002</v>
      </c>
      <c r="E11" s="3">
        <v>2007</v>
      </c>
      <c r="F11" s="3">
        <v>2012</v>
      </c>
      <c r="G11" s="3">
        <v>2017</v>
      </c>
      <c r="H11" s="3">
        <v>2022</v>
      </c>
      <c r="I11" s="3" t="s">
        <v>47</v>
      </c>
      <c r="J11" s="3">
        <v>2</v>
      </c>
      <c r="K11" s="3">
        <v>2</v>
      </c>
      <c r="L11" s="3">
        <v>1</v>
      </c>
      <c r="M11" s="3">
        <v>3</v>
      </c>
      <c r="N11" s="3">
        <v>3</v>
      </c>
      <c r="O11" s="3" t="s">
        <v>47</v>
      </c>
      <c r="P11" s="4">
        <v>5.7000000000000002E-2</v>
      </c>
      <c r="Q11" s="4">
        <v>6.6000000000000003E-2</v>
      </c>
      <c r="R11" s="4">
        <v>5.8000000000000003E-2</v>
      </c>
      <c r="S11" s="4">
        <v>4.3999999999999997E-2</v>
      </c>
      <c r="T11" s="4">
        <v>3.6999999999999998E-2</v>
      </c>
      <c r="U11" s="3" t="s">
        <v>47</v>
      </c>
      <c r="V11" s="6">
        <f>49.4%+39.3%</f>
        <v>0.88700000000000001</v>
      </c>
      <c r="W11" s="6">
        <f>49.1%+38%</f>
        <v>0.871</v>
      </c>
      <c r="X11" s="6">
        <f>47.9%+38.9%</f>
        <v>0.86799999999999999</v>
      </c>
      <c r="Y11" s="6">
        <f>50%+42.2%</f>
        <v>0.92200000000000004</v>
      </c>
      <c r="Z11" s="6">
        <f>53.3%+27.7%</f>
        <v>0.80999999999999983</v>
      </c>
      <c r="AA11" s="3" t="s">
        <v>47</v>
      </c>
      <c r="AB11" s="8">
        <v>344</v>
      </c>
      <c r="AC11" s="8">
        <v>480</v>
      </c>
      <c r="AD11" s="8">
        <v>668</v>
      </c>
      <c r="AE11" s="8">
        <v>794</v>
      </c>
      <c r="AF11" s="8">
        <v>623</v>
      </c>
      <c r="AG11" s="3" t="s">
        <v>47</v>
      </c>
      <c r="AH11" s="9">
        <f t="shared" si="0"/>
        <v>1.6666666666666667</v>
      </c>
      <c r="AI11" s="9">
        <f t="shared" si="1"/>
        <v>3</v>
      </c>
      <c r="AJ11" s="4">
        <f t="shared" si="2"/>
        <v>6.0333333333333329E-2</v>
      </c>
      <c r="AK11" s="4">
        <f t="shared" si="3"/>
        <v>4.0499999999999994E-2</v>
      </c>
      <c r="AL11" s="10">
        <f t="shared" si="4"/>
        <v>497.33333333333331</v>
      </c>
      <c r="AM11" s="10">
        <f t="shared" si="5"/>
        <v>708.5</v>
      </c>
      <c r="AN11" s="4">
        <f t="shared" si="6"/>
        <v>0.8753333333333333</v>
      </c>
      <c r="AO11" s="4">
        <f t="shared" si="7"/>
        <v>0.86599999999999988</v>
      </c>
    </row>
    <row r="12" spans="1:41" x14ac:dyDescent="0.25">
      <c r="A12" s="3">
        <v>11</v>
      </c>
      <c r="B12" s="3" t="s">
        <v>43</v>
      </c>
      <c r="C12" s="3" t="s">
        <v>45</v>
      </c>
      <c r="D12" s="3">
        <v>1999</v>
      </c>
      <c r="E12" s="3">
        <v>2004</v>
      </c>
      <c r="F12" s="3">
        <v>2009</v>
      </c>
      <c r="G12" s="3">
        <v>2014</v>
      </c>
      <c r="H12" s="3">
        <v>2019</v>
      </c>
      <c r="I12" s="3">
        <v>2024</v>
      </c>
      <c r="J12" s="3">
        <v>6</v>
      </c>
      <c r="K12" s="3">
        <v>5</v>
      </c>
      <c r="L12" s="3">
        <v>9</v>
      </c>
      <c r="M12" s="3">
        <v>3</v>
      </c>
      <c r="N12" s="3">
        <v>4</v>
      </c>
      <c r="O12" s="3">
        <v>7</v>
      </c>
      <c r="P12" s="4">
        <v>2.7E-2</v>
      </c>
      <c r="Q12" s="4">
        <v>4.2000000000000003E-2</v>
      </c>
      <c r="R12" s="4">
        <v>5.1999999999999998E-2</v>
      </c>
      <c r="S12" s="4">
        <v>3.1E-2</v>
      </c>
      <c r="T12" s="4">
        <v>2.7E-2</v>
      </c>
      <c r="U12" s="4">
        <v>2.8000000000000001E-2</v>
      </c>
      <c r="V12" s="6">
        <f>23.8%+28.3%</f>
        <v>0.52100000000000002</v>
      </c>
      <c r="W12" s="6">
        <f>26.5%+22.2%</f>
        <v>0.48699999999999999</v>
      </c>
      <c r="X12" s="6">
        <f>28.6%+18.8%</f>
        <v>0.47400000000000003</v>
      </c>
      <c r="Y12" s="6">
        <f>31.3%+19.5%</f>
        <v>0.50800000000000001</v>
      </c>
      <c r="Z12" s="6">
        <f>37.7%+19.7%</f>
        <v>0.57399999999999995</v>
      </c>
      <c r="AA12" s="6">
        <f>36.9%+21.4%</f>
        <v>0.58299999999999996</v>
      </c>
      <c r="AB12" s="8">
        <v>1945</v>
      </c>
      <c r="AC12" s="8">
        <v>2385</v>
      </c>
      <c r="AD12" s="8">
        <v>3831</v>
      </c>
      <c r="AE12" s="8">
        <v>3235</v>
      </c>
      <c r="AF12" s="8">
        <v>3447</v>
      </c>
      <c r="AG12" s="8">
        <v>3906</v>
      </c>
      <c r="AH12" s="9">
        <f t="shared" si="0"/>
        <v>6.666666666666667</v>
      </c>
      <c r="AI12" s="9">
        <f t="shared" si="1"/>
        <v>4.666666666666667</v>
      </c>
      <c r="AJ12" s="4">
        <f t="shared" si="2"/>
        <v>4.0333333333333332E-2</v>
      </c>
      <c r="AK12" s="4">
        <f t="shared" si="3"/>
        <v>2.8666666666666663E-2</v>
      </c>
      <c r="AL12" s="10">
        <f t="shared" si="4"/>
        <v>2720.3333333333335</v>
      </c>
      <c r="AM12" s="10">
        <f t="shared" si="5"/>
        <v>3529.3333333333335</v>
      </c>
      <c r="AN12" s="4">
        <f t="shared" si="6"/>
        <v>0.49399999999999999</v>
      </c>
      <c r="AO12" s="4">
        <f t="shared" si="7"/>
        <v>0.55499999999999994</v>
      </c>
    </row>
    <row r="13" spans="1:41" x14ac:dyDescent="0.25">
      <c r="V13" s="1"/>
      <c r="W13" s="1"/>
      <c r="X13" s="1"/>
      <c r="Y13" s="1"/>
      <c r="Z1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workbookViewId="0">
      <selection activeCell="D19" sqref="D19"/>
    </sheetView>
  </sheetViews>
  <sheetFormatPr defaultRowHeight="15" x14ac:dyDescent="0.25"/>
  <cols>
    <col min="1" max="1" width="26.28515625" style="11" bestFit="1" customWidth="1"/>
    <col min="2" max="11" width="22" bestFit="1" customWidth="1"/>
    <col min="12" max="12" width="26" bestFit="1" customWidth="1"/>
  </cols>
  <sheetData>
    <row r="1" spans="1:1" x14ac:dyDescent="0.25">
      <c r="A1"/>
    </row>
    <row r="2" spans="1:1" x14ac:dyDescent="0.25">
      <c r="A2"/>
    </row>
    <row r="3" spans="1:1" x14ac:dyDescent="0.25">
      <c r="A3"/>
    </row>
    <row r="4" spans="1:1" x14ac:dyDescent="0.25">
      <c r="A4"/>
    </row>
    <row r="5" spans="1:1" x14ac:dyDescent="0.25">
      <c r="A5"/>
    </row>
    <row r="6" spans="1:1" x14ac:dyDescent="0.25">
      <c r="A6"/>
    </row>
    <row r="7" spans="1:1" x14ac:dyDescent="0.25">
      <c r="A7"/>
    </row>
    <row r="8" spans="1:1" x14ac:dyDescent="0.25">
      <c r="A8"/>
    </row>
    <row r="9" spans="1:1" x14ac:dyDescent="0.25">
      <c r="A9"/>
    </row>
    <row r="10" spans="1:1" x14ac:dyDescent="0.25">
      <c r="A10"/>
    </row>
    <row r="11" spans="1:1" x14ac:dyDescent="0.25">
      <c r="A11"/>
    </row>
    <row r="12" spans="1:1" x14ac:dyDescent="0.25">
      <c r="A12"/>
    </row>
    <row r="13" spans="1:1" x14ac:dyDescent="0.25">
      <c r="A13"/>
    </row>
    <row r="14" spans="1:1" x14ac:dyDescent="0.25">
      <c r="A14"/>
    </row>
    <row r="15" spans="1:1" x14ac:dyDescent="0.25">
      <c r="A15"/>
    </row>
    <row r="16" spans="1:1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Independent Candidates Analysis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</dc:creator>
  <cp:lastModifiedBy>HARSHIT</cp:lastModifiedBy>
  <dcterms:created xsi:type="dcterms:W3CDTF">2026-02-21T15:16:16Z</dcterms:created>
  <dcterms:modified xsi:type="dcterms:W3CDTF">2026-02-22T17:24:54Z</dcterms:modified>
</cp:coreProperties>
</file>